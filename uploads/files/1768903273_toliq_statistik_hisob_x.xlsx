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‘liq statistik hisob (x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</t>
        </is>
      </c>
      <c r="B1" t="inlineStr">
        <is>
          <t>x_i - x̄</t>
        </is>
      </c>
      <c r="C1" t="inlineStr">
        <is>
          <t>(x_i - x̄)^2</t>
        </is>
      </c>
      <c r="D1" t="inlineStr">
        <is>
          <t>|x_i - x̄|</t>
        </is>
      </c>
      <c r="F1" t="inlineStr">
        <is>
          <t>x̄</t>
        </is>
      </c>
    </row>
    <row r="2">
      <c r="A2" t="n">
        <v>156</v>
      </c>
      <c r="B2">
        <f>A2-$F$2</f>
        <v/>
      </c>
      <c r="C2">
        <f>B2^2</f>
        <v/>
      </c>
      <c r="D2">
        <f>ABS(B2)</f>
        <v/>
      </c>
      <c r="F2">
        <f>AVERAGE(A2:A13)</f>
        <v/>
      </c>
    </row>
    <row r="3">
      <c r="A3" t="n">
        <v>188</v>
      </c>
      <c r="B3">
        <f>A3-$F$2</f>
        <v/>
      </c>
      <c r="C3">
        <f>B3^2</f>
        <v/>
      </c>
      <c r="D3">
        <f>ABS(B3)</f>
        <v/>
      </c>
    </row>
    <row r="4">
      <c r="A4" t="n">
        <v>170</v>
      </c>
      <c r="B4">
        <f>A4-$F$2</f>
        <v/>
      </c>
      <c r="C4">
        <f>B4^2</f>
        <v/>
      </c>
      <c r="D4">
        <f>ABS(B4)</f>
        <v/>
      </c>
      <c r="F4" t="inlineStr">
        <is>
          <t>n</t>
        </is>
      </c>
      <c r="G4" t="n">
        <v>12</v>
      </c>
    </row>
    <row r="5">
      <c r="A5" t="n">
        <v>146</v>
      </c>
      <c r="B5">
        <f>A5-$F$2</f>
        <v/>
      </c>
      <c r="C5">
        <f>B5^2</f>
        <v/>
      </c>
      <c r="D5">
        <f>ABS(B5)</f>
        <v/>
      </c>
      <c r="F5" t="inlineStr">
        <is>
          <t>Dispersiya D</t>
        </is>
      </c>
      <c r="G5">
        <f>C15/G4</f>
        <v/>
      </c>
    </row>
    <row r="6">
      <c r="A6" t="n">
        <v>182</v>
      </c>
      <c r="B6">
        <f>A6-$F$2</f>
        <v/>
      </c>
      <c r="C6">
        <f>B6^2</f>
        <v/>
      </c>
      <c r="D6">
        <f>ABS(B6)</f>
        <v/>
      </c>
      <c r="F6" t="inlineStr">
        <is>
          <t>σ (kvadratik og‘ish)</t>
        </is>
      </c>
      <c r="G6">
        <f>SQRT(G5)</f>
        <v/>
      </c>
    </row>
    <row r="7">
      <c r="A7" t="n">
        <v>176</v>
      </c>
      <c r="B7">
        <f>A7-$F$2</f>
        <v/>
      </c>
      <c r="C7">
        <f>B7^2</f>
        <v/>
      </c>
      <c r="D7">
        <f>ABS(B7)</f>
        <v/>
      </c>
      <c r="F7" t="inlineStr">
        <is>
          <t>R (variatsiya chegarasi)</t>
        </is>
      </c>
      <c r="G7">
        <f>MAX(A2:A13)-MIN(A2:A13)</f>
        <v/>
      </c>
    </row>
    <row r="8">
      <c r="A8" t="n">
        <v>146</v>
      </c>
      <c r="B8">
        <f>A8-$F$2</f>
        <v/>
      </c>
      <c r="C8">
        <f>B8^2</f>
        <v/>
      </c>
      <c r="D8">
        <f>ABS(B8)</f>
        <v/>
      </c>
      <c r="F8" t="inlineStr">
        <is>
          <t>Δ (o‘rtacha chiziqli farq)</t>
        </is>
      </c>
      <c r="G8">
        <f>D15/G4</f>
        <v/>
      </c>
    </row>
    <row r="9">
      <c r="A9" t="n">
        <v>164</v>
      </c>
      <c r="B9">
        <f>A9-$F$2</f>
        <v/>
      </c>
      <c r="C9">
        <f>B9^2</f>
        <v/>
      </c>
      <c r="D9">
        <f>ABS(B9)</f>
        <v/>
      </c>
      <c r="F9" t="inlineStr">
        <is>
          <t>Vσ (%)</t>
        </is>
      </c>
      <c r="G9">
        <f>(G6/F2)*100</f>
        <v/>
      </c>
    </row>
    <row r="10">
      <c r="A10" t="n">
        <v>198</v>
      </c>
      <c r="B10">
        <f>A10-$F$2</f>
        <v/>
      </c>
      <c r="C10">
        <f>B10^2</f>
        <v/>
      </c>
      <c r="D10">
        <f>ABS(B10)</f>
        <v/>
      </c>
    </row>
    <row r="11">
      <c r="A11" t="n">
        <v>226</v>
      </c>
      <c r="B11">
        <f>A11-$F$2</f>
        <v/>
      </c>
      <c r="C11">
        <f>B11^2</f>
        <v/>
      </c>
      <c r="D11">
        <f>ABS(B11)</f>
        <v/>
      </c>
    </row>
    <row r="12">
      <c r="A12" t="n">
        <v>138</v>
      </c>
      <c r="B12">
        <f>A12-$F$2</f>
        <v/>
      </c>
      <c r="C12">
        <f>B12^2</f>
        <v/>
      </c>
      <c r="D12">
        <f>ABS(B12)</f>
        <v/>
      </c>
    </row>
    <row r="13">
      <c r="A13" t="n">
        <v>166</v>
      </c>
      <c r="B13">
        <f>A13-$F$2</f>
        <v/>
      </c>
      <c r="C13">
        <f>B13^2</f>
        <v/>
      </c>
      <c r="D13">
        <f>ABS(B13)</f>
        <v/>
      </c>
    </row>
    <row r="15">
      <c r="A15" t="inlineStr">
        <is>
          <t>Jami</t>
        </is>
      </c>
      <c r="C15">
        <f>SUM(C2:C13)</f>
        <v/>
      </c>
      <c r="D15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2026-01-20T04:42:17Z</dcterms:created>
  <dcterms:modified xmlns:dcterms="http://purl.org/dc/terms/" xmlns:xsi="http://www.w3.org/2001/XMLSchema-instance" xsi:type="dcterms:W3CDTF">2026-01-20T04:42:17Z</dcterms:modified>
</cp:coreProperties>
</file>